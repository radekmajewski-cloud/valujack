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<sst xmlns="http://schemas.openxmlformats.org/spreadsheetml/2006/main" count="194" uniqueCount="135">
  <si>
    <t>Company</t>
  </si>
  <si>
    <t>Ticker</t>
  </si>
  <si>
    <t>Yahoo_Ticker</t>
  </si>
  <si>
    <t>Price</t>
  </si>
  <si>
    <t>FV_Morningstar</t>
  </si>
  <si>
    <t>FV_AlphaSpread</t>
  </si>
  <si>
    <t>FV_ValueInvesting</t>
  </si>
  <si>
    <t>FV_Average</t>
  </si>
  <si>
    <t>Currency</t>
  </si>
  <si>
    <t>Date</t>
  </si>
  <si>
    <t>MOS_vs_AvgFV</t>
  </si>
  <si>
    <t>Wilhelmsen Holding B</t>
  </si>
  <si>
    <t>Zoom Video</t>
  </si>
  <si>
    <t>Addtech B</t>
  </si>
  <si>
    <t>SAP</t>
  </si>
  <si>
    <t>Betsson B</t>
  </si>
  <si>
    <t>GTT Communications</t>
  </si>
  <si>
    <t>Regeneron</t>
  </si>
  <si>
    <t>NVIDIA</t>
  </si>
  <si>
    <t>Bavarian Nordic</t>
  </si>
  <si>
    <t>Evolution Gaming</t>
  </si>
  <si>
    <t>Doximity</t>
  </si>
  <si>
    <t>Cricut</t>
  </si>
  <si>
    <t>Shift4 Payments</t>
  </si>
  <si>
    <t>Indutrade</t>
  </si>
  <si>
    <t>Altria</t>
  </si>
  <si>
    <t>ME Group</t>
  </si>
  <si>
    <t>Value Line</t>
  </si>
  <si>
    <t>Gaztransport</t>
  </si>
  <si>
    <t>Oslo Airport</t>
  </si>
  <si>
    <t>Mekonomen</t>
  </si>
  <si>
    <t>Flowserve</t>
  </si>
  <si>
    <t>Zinzino B</t>
  </si>
  <si>
    <t>OneSpan</t>
  </si>
  <si>
    <t>Alkermes</t>
  </si>
  <si>
    <t>SIGA Technologies</t>
  </si>
  <si>
    <t>Cal-Maine Foods</t>
  </si>
  <si>
    <t>Gubra</t>
  </si>
  <si>
    <t>InMode</t>
  </si>
  <si>
    <t>True B</t>
  </si>
  <si>
    <t>Catalyst Pharma</t>
  </si>
  <si>
    <t>PTC Therapeutics</t>
  </si>
  <si>
    <t>Perdoceo Education</t>
  </si>
  <si>
    <t>Karooooo</t>
  </si>
  <si>
    <t>PTC Inc</t>
  </si>
  <si>
    <t>Daily Journal Corp</t>
  </si>
  <si>
    <t>Innovative Solutions</t>
  </si>
  <si>
    <t>BK Technologies</t>
  </si>
  <si>
    <t>Vaalco Energy</t>
  </si>
  <si>
    <t>Krystal Biotech</t>
  </si>
  <si>
    <t>Nichols</t>
  </si>
  <si>
    <t>Ituran Location</t>
  </si>
  <si>
    <t>Weyco Group</t>
  </si>
  <si>
    <t>Philip Morris</t>
  </si>
  <si>
    <t>Tenneco</t>
  </si>
  <si>
    <t>Ennis Inc</t>
  </si>
  <si>
    <t>FM Mattsson B</t>
  </si>
  <si>
    <t>EVS Broadcast</t>
  </si>
  <si>
    <t>Cirrus Logic</t>
  </si>
  <si>
    <t>Copart</t>
  </si>
  <si>
    <t>ResMed</t>
  </si>
  <si>
    <t>Alphabet</t>
  </si>
  <si>
    <t>Games Workshop</t>
  </si>
  <si>
    <t>Medistim</t>
  </si>
  <si>
    <t>Microsoft</t>
  </si>
  <si>
    <t>Garmin</t>
  </si>
  <si>
    <t>Orion</t>
  </si>
  <si>
    <t>Jack Henry</t>
  </si>
  <si>
    <t>Christian Berner Tech</t>
  </si>
  <si>
    <t>Rvrc Holding</t>
  </si>
  <si>
    <t>Dave Inc</t>
  </si>
  <si>
    <t>Duolingo</t>
  </si>
  <si>
    <t>WWIB</t>
  </si>
  <si>
    <t>ZM</t>
  </si>
  <si>
    <t>HACK</t>
  </si>
  <si>
    <t>BETS B</t>
  </si>
  <si>
    <t>GTT</t>
  </si>
  <si>
    <t>REGN</t>
  </si>
  <si>
    <t>NVDA</t>
  </si>
  <si>
    <t>BAVA</t>
  </si>
  <si>
    <t>EVO</t>
  </si>
  <si>
    <t>DOCS</t>
  </si>
  <si>
    <t>CRCT</t>
  </si>
  <si>
    <t>FOUR</t>
  </si>
  <si>
    <t>ITP</t>
  </si>
  <si>
    <t>MO</t>
  </si>
  <si>
    <t>MEGP</t>
  </si>
  <si>
    <t>VALU</t>
  </si>
  <si>
    <t>OEWA</t>
  </si>
  <si>
    <t>MEKKO</t>
  </si>
  <si>
    <t>FLW1</t>
  </si>
  <si>
    <t>ZZ B</t>
  </si>
  <si>
    <t>OSPN</t>
  </si>
  <si>
    <t>ALKS</t>
  </si>
  <si>
    <t>SIGA</t>
  </si>
  <si>
    <t>CALM</t>
  </si>
  <si>
    <t>GUBRA</t>
  </si>
  <si>
    <t>INMD</t>
  </si>
  <si>
    <t>TRUE B</t>
  </si>
  <si>
    <t>CPRX</t>
  </si>
  <si>
    <t>PTCT</t>
  </si>
  <si>
    <t>PRDO</t>
  </si>
  <si>
    <t>KARO</t>
  </si>
  <si>
    <t>PTC</t>
  </si>
  <si>
    <t>DJCO</t>
  </si>
  <si>
    <t>ISSC</t>
  </si>
  <si>
    <t>BKTI</t>
  </si>
  <si>
    <t>VLE</t>
  </si>
  <si>
    <t>KRYS</t>
  </si>
  <si>
    <t>NICL</t>
  </si>
  <si>
    <t>ITRN</t>
  </si>
  <si>
    <t>WEYS</t>
  </si>
  <si>
    <t>PM</t>
  </si>
  <si>
    <t>TEN</t>
  </si>
  <si>
    <t>EBF</t>
  </si>
  <si>
    <t>FMM B</t>
  </si>
  <si>
    <t>EVS</t>
  </si>
  <si>
    <t>CRUS</t>
  </si>
  <si>
    <t>CPRT</t>
  </si>
  <si>
    <t>RMD</t>
  </si>
  <si>
    <t>GOOGL</t>
  </si>
  <si>
    <t>GAW</t>
  </si>
  <si>
    <t>MEDI</t>
  </si>
  <si>
    <t>MSFT</t>
  </si>
  <si>
    <t>GRMN</t>
  </si>
  <si>
    <t>ORNBV</t>
  </si>
  <si>
    <t>JKHY</t>
  </si>
  <si>
    <t>CEVI</t>
  </si>
  <si>
    <t>RVRC</t>
  </si>
  <si>
    <t>DAVE</t>
  </si>
  <si>
    <t>DUOL</t>
  </si>
  <si>
    <t>WWI.OL</t>
  </si>
  <si>
    <t>ADDT-B.ST</t>
  </si>
  <si>
    <t>SAP.DE</t>
  </si>
  <si>
    <t>BETS-B.ST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</si>
</sst>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72</v>
      </c>
      <c r="C2" t="s">
        <v>131</v>
      </c>
      <c r="D2">
        <f>GOOGLEFINANCE(C2,"price")</f>
        <v>0</v>
      </c>
      <c r="H2">
        <f>AVERAGE(E2:G2)</f>
        <v>0</v>
      </c>
      <c r="J2">
        <f>TODAY()</f>
        <v>0</v>
      </c>
      <c r="K2">
        <f>(H2-D2)/D2</f>
        <v>0</v>
      </c>
    </row>
    <row r="3" spans="1:11">
      <c r="A3" t="s">
        <v>12</v>
      </c>
      <c r="B3" t="s">
        <v>73</v>
      </c>
      <c r="C3" t="s">
        <v>73</v>
      </c>
      <c r="D3">
        <f>GOOGLEFINANCE(C3,"price")</f>
        <v>0</v>
      </c>
      <c r="H3">
        <f>AVERAGE(E3:G3)</f>
        <v>0</v>
      </c>
      <c r="J3">
        <f>TODAY()</f>
        <v>0</v>
      </c>
      <c r="K3">
        <f>(H3-D3)/D3</f>
        <v>0</v>
      </c>
    </row>
    <row r="4" spans="1:11">
      <c r="A4" t="s">
        <v>13</v>
      </c>
      <c r="B4" t="s">
        <v>74</v>
      </c>
      <c r="C4" t="s">
        <v>132</v>
      </c>
      <c r="D4">
        <f>GOOGLEFINANCE(C4,"price")</f>
        <v>0</v>
      </c>
      <c r="H4">
        <f>AVERAGE(E4:G4)</f>
        <v>0</v>
      </c>
      <c r="J4">
        <f>TODAY()</f>
        <v>0</v>
      </c>
      <c r="K4">
        <f>(H4-D4)/D4</f>
        <v>0</v>
      </c>
    </row>
    <row r="5" spans="1:11">
      <c r="A5" t="s">
        <v>14</v>
      </c>
      <c r="B5" t="s">
        <v>14</v>
      </c>
      <c r="C5" t="s">
        <v>133</v>
      </c>
      <c r="D5">
        <f>GOOGLEFINANCE(C5,"price")</f>
        <v>0</v>
      </c>
      <c r="H5">
        <f>AVERAGE(E5:G5)</f>
        <v>0</v>
      </c>
      <c r="J5">
        <f>TODAY()</f>
        <v>0</v>
      </c>
      <c r="K5">
        <f>(H5-D5)/D5</f>
        <v>0</v>
      </c>
    </row>
    <row r="6" spans="1:11">
      <c r="A6" t="s">
        <v>15</v>
      </c>
      <c r="B6" t="s">
        <v>75</v>
      </c>
      <c r="C6" t="s">
        <v>134</v>
      </c>
      <c r="D6">
        <f>GOOGLEFINANCE(C6,"price")</f>
        <v>0</v>
      </c>
      <c r="H6">
        <f>AVERAGE(E6:G6)</f>
        <v>0</v>
      </c>
      <c r="J6">
        <f>TODAY()</f>
        <v>0</v>
      </c>
      <c r="K6">
        <f>(H6-D6)/D6</f>
        <v>0</v>
      </c>
    </row>
    <row r="7" spans="1:11">
      <c r="A7" t="s">
        <v>16</v>
      </c>
      <c r="B7" t="s">
        <v>76</v>
      </c>
      <c r="C7" t="s">
        <v>76</v>
      </c>
      <c r="D7">
        <f>GOOGLEFINANCE(C7,"price")</f>
        <v>0</v>
      </c>
      <c r="H7">
        <f>AVERAGE(E7:G7)</f>
        <v>0</v>
      </c>
      <c r="J7">
        <f>TODAY()</f>
        <v>0</v>
      </c>
      <c r="K7">
        <f>(H7-D7)/D7</f>
        <v>0</v>
      </c>
    </row>
    <row r="8" spans="1:11">
      <c r="A8" t="s">
        <v>17</v>
      </c>
      <c r="B8" t="s">
        <v>77</v>
      </c>
      <c r="C8" t="s">
        <v>77</v>
      </c>
      <c r="D8">
        <f>GOOGLEFINANCE(C8,"price")</f>
        <v>0</v>
      </c>
      <c r="H8">
        <f>AVERAGE(E8:G8)</f>
        <v>0</v>
      </c>
      <c r="J8">
        <f>TODAY()</f>
        <v>0</v>
      </c>
      <c r="K8">
        <f>(H8-D8)/D8</f>
        <v>0</v>
      </c>
    </row>
    <row r="9" spans="1:11">
      <c r="A9" t="s">
        <v>18</v>
      </c>
      <c r="B9" t="s">
        <v>78</v>
      </c>
      <c r="C9" t="s">
        <v>78</v>
      </c>
      <c r="D9">
        <f>GOOGLEFINANCE(C9,"price")</f>
        <v>0</v>
      </c>
      <c r="H9">
        <f>AVERAGE(E9:G9)</f>
        <v>0</v>
      </c>
      <c r="J9">
        <f>TODAY()</f>
        <v>0</v>
      </c>
      <c r="K9">
        <f>(H9-D9)/D9</f>
        <v>0</v>
      </c>
    </row>
    <row r="10" spans="1:11">
      <c r="A10" t="s">
        <v>19</v>
      </c>
      <c r="B10" t="s">
        <v>79</v>
      </c>
      <c r="C10" t="s">
        <v>79</v>
      </c>
      <c r="D10">
        <f>GOOGLEFINANCE(C10,"price")</f>
        <v>0</v>
      </c>
      <c r="H10">
        <f>AVERAGE(E10:G10)</f>
        <v>0</v>
      </c>
      <c r="J10">
        <f>TODAY()</f>
        <v>0</v>
      </c>
      <c r="K10">
        <f>(H10-D10)/D10</f>
        <v>0</v>
      </c>
    </row>
    <row r="11" spans="1:11">
      <c r="A11" t="s">
        <v>20</v>
      </c>
      <c r="B11" t="s">
        <v>80</v>
      </c>
      <c r="C11" t="s">
        <v>80</v>
      </c>
      <c r="D11">
        <f>GOOGLEFINANCE(C11,"price")</f>
        <v>0</v>
      </c>
      <c r="H11">
        <f>AVERAGE(E11:G11)</f>
        <v>0</v>
      </c>
      <c r="J11">
        <f>TODAY()</f>
        <v>0</v>
      </c>
      <c r="K11">
        <f>(H11-D11)/D11</f>
        <v>0</v>
      </c>
    </row>
    <row r="12" spans="1:11">
      <c r="A12" t="s">
        <v>21</v>
      </c>
      <c r="B12" t="s">
        <v>81</v>
      </c>
      <c r="C12" t="s">
        <v>81</v>
      </c>
      <c r="D12">
        <f>GOOGLEFINANCE(C12,"price")</f>
        <v>0</v>
      </c>
      <c r="H12">
        <f>AVERAGE(E12:G12)</f>
        <v>0</v>
      </c>
      <c r="J12">
        <f>TODAY()</f>
        <v>0</v>
      </c>
      <c r="K12">
        <f>(H12-D12)/D12</f>
        <v>0</v>
      </c>
    </row>
    <row r="13" spans="1:11">
      <c r="A13" t="s">
        <v>22</v>
      </c>
      <c r="B13" t="s">
        <v>82</v>
      </c>
      <c r="C13" t="s">
        <v>82</v>
      </c>
      <c r="D13">
        <f>GOOGLEFINANCE(C13,"price")</f>
        <v>0</v>
      </c>
      <c r="H13">
        <f>AVERAGE(E13:G13)</f>
        <v>0</v>
      </c>
      <c r="J13">
        <f>TODAY()</f>
        <v>0</v>
      </c>
      <c r="K13">
        <f>(H13-D13)/D13</f>
        <v>0</v>
      </c>
    </row>
    <row r="14" spans="1:11">
      <c r="A14" t="s">
        <v>23</v>
      </c>
      <c r="B14" t="s">
        <v>83</v>
      </c>
      <c r="C14" t="s">
        <v>83</v>
      </c>
      <c r="D14">
        <f>GOOGLEFINANCE(C14,"price")</f>
        <v>0</v>
      </c>
      <c r="H14">
        <f>AVERAGE(E14:G14)</f>
        <v>0</v>
      </c>
      <c r="J14">
        <f>TODAY()</f>
        <v>0</v>
      </c>
      <c r="K14">
        <f>(H14-D14)/D14</f>
        <v>0</v>
      </c>
    </row>
    <row r="15" spans="1:11">
      <c r="A15" t="s">
        <v>24</v>
      </c>
      <c r="B15" t="s">
        <v>84</v>
      </c>
      <c r="C15" t="s">
        <v>84</v>
      </c>
      <c r="D15">
        <f>GOOGLEFINANCE(C15,"price")</f>
        <v>0</v>
      </c>
      <c r="H15">
        <f>AVERAGE(E15:G15)</f>
        <v>0</v>
      </c>
      <c r="J15">
        <f>TODAY()</f>
        <v>0</v>
      </c>
      <c r="K15">
        <f>(H15-D15)/D15</f>
        <v>0</v>
      </c>
    </row>
    <row r="16" spans="1:11">
      <c r="A16" t="s">
        <v>25</v>
      </c>
      <c r="B16" t="s">
        <v>85</v>
      </c>
      <c r="C16" t="s">
        <v>85</v>
      </c>
      <c r="D16">
        <f>GOOGLEFINANCE(C16,"price")</f>
        <v>0</v>
      </c>
      <c r="H16">
        <f>AVERAGE(E16:G16)</f>
        <v>0</v>
      </c>
      <c r="J16">
        <f>TODAY()</f>
        <v>0</v>
      </c>
      <c r="K16">
        <f>(H16-D16)/D16</f>
        <v>0</v>
      </c>
    </row>
    <row r="17" spans="1:11">
      <c r="A17" t="s">
        <v>26</v>
      </c>
      <c r="B17" t="s">
        <v>86</v>
      </c>
      <c r="C17" t="s">
        <v>86</v>
      </c>
      <c r="D17">
        <f>GOOGLEFINANCE(C17,"price")</f>
        <v>0</v>
      </c>
      <c r="H17">
        <f>AVERAGE(E17:G17)</f>
        <v>0</v>
      </c>
      <c r="J17">
        <f>TODAY()</f>
        <v>0</v>
      </c>
      <c r="K17">
        <f>(H17-D17)/D17</f>
        <v>0</v>
      </c>
    </row>
    <row r="18" spans="1:11">
      <c r="A18" t="s">
        <v>27</v>
      </c>
      <c r="B18" t="s">
        <v>87</v>
      </c>
      <c r="C18" t="s">
        <v>87</v>
      </c>
      <c r="D18">
        <f>GOOGLEFINANCE(C18,"price")</f>
        <v>0</v>
      </c>
      <c r="H18">
        <f>AVERAGE(E18:G18)</f>
        <v>0</v>
      </c>
      <c r="J18">
        <f>TODAY()</f>
        <v>0</v>
      </c>
      <c r="K18">
        <f>(H18-D18)/D18</f>
        <v>0</v>
      </c>
    </row>
    <row r="19" spans="1:11">
      <c r="A19" t="s">
        <v>28</v>
      </c>
      <c r="B19" t="s">
        <v>76</v>
      </c>
      <c r="C19" t="s">
        <v>76</v>
      </c>
      <c r="D19">
        <f>GOOGLEFINANCE(C19,"price")</f>
        <v>0</v>
      </c>
      <c r="H19">
        <f>AVERAGE(E19:G19)</f>
        <v>0</v>
      </c>
      <c r="J19">
        <f>TODAY()</f>
        <v>0</v>
      </c>
      <c r="K19">
        <f>(H19-D19)/D19</f>
        <v>0</v>
      </c>
    </row>
    <row r="20" spans="1:11">
      <c r="A20" t="s">
        <v>29</v>
      </c>
      <c r="B20" t="s">
        <v>88</v>
      </c>
      <c r="C20" t="s">
        <v>88</v>
      </c>
      <c r="D20">
        <f>GOOGLEFINANCE(C20,"price")</f>
        <v>0</v>
      </c>
      <c r="H20">
        <f>AVERAGE(E20:G20)</f>
        <v>0</v>
      </c>
      <c r="J20">
        <f>TODAY()</f>
        <v>0</v>
      </c>
      <c r="K20">
        <f>(H20-D20)/D20</f>
        <v>0</v>
      </c>
    </row>
    <row r="21" spans="1:11">
      <c r="A21" t="s">
        <v>30</v>
      </c>
      <c r="B21" t="s">
        <v>89</v>
      </c>
      <c r="C21" t="s">
        <v>89</v>
      </c>
      <c r="D21">
        <f>GOOGLEFINANCE(C21,"price")</f>
        <v>0</v>
      </c>
      <c r="H21">
        <f>AVERAGE(E21:G21)</f>
        <v>0</v>
      </c>
      <c r="J21">
        <f>TODAY()</f>
        <v>0</v>
      </c>
      <c r="K21">
        <f>(H21-D21)/D21</f>
        <v>0</v>
      </c>
    </row>
    <row r="22" spans="1:11">
      <c r="A22" t="s">
        <v>31</v>
      </c>
      <c r="B22" t="s">
        <v>90</v>
      </c>
      <c r="C22" t="s">
        <v>90</v>
      </c>
      <c r="D22">
        <f>GOOGLEFINANCE(C22,"price")</f>
        <v>0</v>
      </c>
      <c r="H22">
        <f>AVERAGE(E22:G22)</f>
        <v>0</v>
      </c>
      <c r="J22">
        <f>TODAY()</f>
        <v>0</v>
      </c>
      <c r="K22">
        <f>(H22-D22)/D22</f>
        <v>0</v>
      </c>
    </row>
    <row r="23" spans="1:11">
      <c r="A23" t="s">
        <v>32</v>
      </c>
      <c r="B23" t="s">
        <v>91</v>
      </c>
      <c r="C23" t="s">
        <v>91</v>
      </c>
      <c r="D23">
        <f>GOOGLEFINANCE(C23,"price")</f>
        <v>0</v>
      </c>
      <c r="H23">
        <f>AVERAGE(E23:G23)</f>
        <v>0</v>
      </c>
      <c r="J23">
        <f>TODAY()</f>
        <v>0</v>
      </c>
      <c r="K23">
        <f>(H23-D23)/D23</f>
        <v>0</v>
      </c>
    </row>
    <row r="24" spans="1:11">
      <c r="A24" t="s">
        <v>33</v>
      </c>
      <c r="B24" t="s">
        <v>92</v>
      </c>
      <c r="C24" t="s">
        <v>92</v>
      </c>
      <c r="D24">
        <f>GOOGLEFINANCE(C24,"price")</f>
        <v>0</v>
      </c>
      <c r="H24">
        <f>AVERAGE(E24:G24)</f>
        <v>0</v>
      </c>
      <c r="J24">
        <f>TODAY()</f>
        <v>0</v>
      </c>
      <c r="K24">
        <f>(H24-D24)/D24</f>
        <v>0</v>
      </c>
    </row>
    <row r="25" spans="1:11">
      <c r="A25" t="s">
        <v>34</v>
      </c>
      <c r="B25" t="s">
        <v>93</v>
      </c>
      <c r="C25" t="s">
        <v>93</v>
      </c>
      <c r="D25">
        <f>GOOGLEFINANCE(C25,"price")</f>
        <v>0</v>
      </c>
      <c r="H25">
        <f>AVERAGE(E25:G25)</f>
        <v>0</v>
      </c>
      <c r="J25">
        <f>TODAY()</f>
        <v>0</v>
      </c>
      <c r="K25">
        <f>(H25-D25)/D25</f>
        <v>0</v>
      </c>
    </row>
    <row r="26" spans="1:11">
      <c r="A26" t="s">
        <v>35</v>
      </c>
      <c r="B26" t="s">
        <v>94</v>
      </c>
      <c r="C26" t="s">
        <v>94</v>
      </c>
      <c r="D26">
        <f>GOOGLEFINANCE(C26,"price")</f>
        <v>0</v>
      </c>
      <c r="H26">
        <f>AVERAGE(E26:G26)</f>
        <v>0</v>
      </c>
      <c r="J26">
        <f>TODAY()</f>
        <v>0</v>
      </c>
      <c r="K26">
        <f>(H26-D26)/D26</f>
        <v>0</v>
      </c>
    </row>
    <row r="27" spans="1:11">
      <c r="A27" t="s">
        <v>36</v>
      </c>
      <c r="B27" t="s">
        <v>95</v>
      </c>
      <c r="C27" t="s">
        <v>95</v>
      </c>
      <c r="D27">
        <f>GOOGLEFINANCE(C27,"price")</f>
        <v>0</v>
      </c>
      <c r="H27">
        <f>AVERAGE(E27:G27)</f>
        <v>0</v>
      </c>
      <c r="J27">
        <f>TODAY()</f>
        <v>0</v>
      </c>
      <c r="K27">
        <f>(H27-D27)/D27</f>
        <v>0</v>
      </c>
    </row>
    <row r="28" spans="1:11">
      <c r="A28" t="s">
        <v>37</v>
      </c>
      <c r="B28" t="s">
        <v>96</v>
      </c>
      <c r="C28" t="s">
        <v>96</v>
      </c>
      <c r="D28">
        <f>GOOGLEFINANCE(C28,"price")</f>
        <v>0</v>
      </c>
      <c r="H28">
        <f>AVERAGE(E28:G28)</f>
        <v>0</v>
      </c>
      <c r="J28">
        <f>TODAY()</f>
        <v>0</v>
      </c>
      <c r="K28">
        <f>(H28-D28)/D28</f>
        <v>0</v>
      </c>
    </row>
    <row r="29" spans="1:11">
      <c r="A29" t="s">
        <v>38</v>
      </c>
      <c r="B29" t="s">
        <v>97</v>
      </c>
      <c r="C29" t="s">
        <v>97</v>
      </c>
      <c r="D29">
        <f>GOOGLEFINANCE(C29,"price")</f>
        <v>0</v>
      </c>
      <c r="H29">
        <f>AVERAGE(E29:G29)</f>
        <v>0</v>
      </c>
      <c r="J29">
        <f>TODAY()</f>
        <v>0</v>
      </c>
      <c r="K29">
        <f>(H29-D29)/D29</f>
        <v>0</v>
      </c>
    </row>
    <row r="30" spans="1:11">
      <c r="A30" t="s">
        <v>39</v>
      </c>
      <c r="B30" t="s">
        <v>98</v>
      </c>
      <c r="C30" t="s">
        <v>98</v>
      </c>
      <c r="D30">
        <f>GOOGLEFINANCE(C30,"price")</f>
        <v>0</v>
      </c>
      <c r="H30">
        <f>AVERAGE(E30:G30)</f>
        <v>0</v>
      </c>
      <c r="J30">
        <f>TODAY()</f>
        <v>0</v>
      </c>
      <c r="K30">
        <f>(H30-D30)/D30</f>
        <v>0</v>
      </c>
    </row>
    <row r="31" spans="1:11">
      <c r="A31" t="s">
        <v>40</v>
      </c>
      <c r="B31" t="s">
        <v>99</v>
      </c>
      <c r="C31" t="s">
        <v>99</v>
      </c>
      <c r="D31">
        <f>GOOGLEFINANCE(C31,"price")</f>
        <v>0</v>
      </c>
      <c r="H31">
        <f>AVERAGE(E31:G31)</f>
        <v>0</v>
      </c>
      <c r="J31">
        <f>TODAY()</f>
        <v>0</v>
      </c>
      <c r="K31">
        <f>(H31-D31)/D31</f>
        <v>0</v>
      </c>
    </row>
    <row r="32" spans="1:11">
      <c r="A32" t="s">
        <v>41</v>
      </c>
      <c r="B32" t="s">
        <v>100</v>
      </c>
      <c r="C32" t="s">
        <v>100</v>
      </c>
      <c r="D32">
        <f>GOOGLEFINANCE(C32,"price")</f>
        <v>0</v>
      </c>
      <c r="H32">
        <f>AVERAGE(E32:G32)</f>
        <v>0</v>
      </c>
      <c r="J32">
        <f>TODAY()</f>
        <v>0</v>
      </c>
      <c r="K32">
        <f>(H32-D32)/D32</f>
        <v>0</v>
      </c>
    </row>
    <row r="33" spans="1:11">
      <c r="A33" t="s">
        <v>42</v>
      </c>
      <c r="B33" t="s">
        <v>101</v>
      </c>
      <c r="C33" t="s">
        <v>101</v>
      </c>
      <c r="D33">
        <f>GOOGLEFINANCE(C33,"price")</f>
        <v>0</v>
      </c>
      <c r="H33">
        <f>AVERAGE(E33:G33)</f>
        <v>0</v>
      </c>
      <c r="J33">
        <f>TODAY()</f>
        <v>0</v>
      </c>
      <c r="K33">
        <f>(H33-D33)/D33</f>
        <v>0</v>
      </c>
    </row>
    <row r="34" spans="1:11">
      <c r="A34" t="s">
        <v>43</v>
      </c>
      <c r="B34" t="s">
        <v>102</v>
      </c>
      <c r="C34" t="s">
        <v>102</v>
      </c>
      <c r="D34">
        <f>GOOGLEFINANCE(C34,"price")</f>
        <v>0</v>
      </c>
      <c r="H34">
        <f>AVERAGE(E34:G34)</f>
        <v>0</v>
      </c>
      <c r="J34">
        <f>TODAY()</f>
        <v>0</v>
      </c>
      <c r="K34">
        <f>(H34-D34)/D34</f>
        <v>0</v>
      </c>
    </row>
    <row r="35" spans="1:11">
      <c r="A35" t="s">
        <v>44</v>
      </c>
      <c r="B35" t="s">
        <v>103</v>
      </c>
      <c r="C35" t="s">
        <v>103</v>
      </c>
      <c r="D35">
        <f>GOOGLEFINANCE(C35,"price")</f>
        <v>0</v>
      </c>
      <c r="H35">
        <f>AVERAGE(E35:G35)</f>
        <v>0</v>
      </c>
      <c r="J35">
        <f>TODAY()</f>
        <v>0</v>
      </c>
      <c r="K35">
        <f>(H35-D35)/D35</f>
        <v>0</v>
      </c>
    </row>
    <row r="36" spans="1:11">
      <c r="A36" t="s">
        <v>45</v>
      </c>
      <c r="B36" t="s">
        <v>104</v>
      </c>
      <c r="C36" t="s">
        <v>104</v>
      </c>
      <c r="D36">
        <f>GOOGLEFINANCE(C36,"price")</f>
        <v>0</v>
      </c>
      <c r="H36">
        <f>AVERAGE(E36:G36)</f>
        <v>0</v>
      </c>
      <c r="J36">
        <f>TODAY()</f>
        <v>0</v>
      </c>
      <c r="K36">
        <f>(H36-D36)/D36</f>
        <v>0</v>
      </c>
    </row>
    <row r="37" spans="1:11">
      <c r="A37" t="s">
        <v>46</v>
      </c>
      <c r="B37" t="s">
        <v>105</v>
      </c>
      <c r="C37" t="s">
        <v>105</v>
      </c>
      <c r="D37">
        <f>GOOGLEFINANCE(C37,"price")</f>
        <v>0</v>
      </c>
      <c r="H37">
        <f>AVERAGE(E37:G37)</f>
        <v>0</v>
      </c>
      <c r="J37">
        <f>TODAY()</f>
        <v>0</v>
      </c>
      <c r="K37">
        <f>(H37-D37)/D37</f>
        <v>0</v>
      </c>
    </row>
    <row r="38" spans="1:11">
      <c r="A38" t="s">
        <v>47</v>
      </c>
      <c r="B38" t="s">
        <v>106</v>
      </c>
      <c r="C38" t="s">
        <v>106</v>
      </c>
      <c r="D38">
        <f>GOOGLEFINANCE(C38,"price")</f>
        <v>0</v>
      </c>
      <c r="H38">
        <f>AVERAGE(E38:G38)</f>
        <v>0</v>
      </c>
      <c r="J38">
        <f>TODAY()</f>
        <v>0</v>
      </c>
      <c r="K38">
        <f>(H38-D38)/D38</f>
        <v>0</v>
      </c>
    </row>
    <row r="39" spans="1:11">
      <c r="A39" t="s">
        <v>48</v>
      </c>
      <c r="B39" t="s">
        <v>107</v>
      </c>
      <c r="C39" t="s">
        <v>107</v>
      </c>
      <c r="D39">
        <f>GOOGLEFINANCE(C39,"price")</f>
        <v>0</v>
      </c>
      <c r="H39">
        <f>AVERAGE(E39:G39)</f>
        <v>0</v>
      </c>
      <c r="J39">
        <f>TODAY()</f>
        <v>0</v>
      </c>
      <c r="K39">
        <f>(H39-D39)/D39</f>
        <v>0</v>
      </c>
    </row>
    <row r="40" spans="1:11">
      <c r="A40" t="s">
        <v>49</v>
      </c>
      <c r="B40" t="s">
        <v>108</v>
      </c>
      <c r="C40" t="s">
        <v>108</v>
      </c>
      <c r="D40">
        <f>GOOGLEFINANCE(C40,"price")</f>
        <v>0</v>
      </c>
      <c r="H40">
        <f>AVERAGE(E40:G40)</f>
        <v>0</v>
      </c>
      <c r="J40">
        <f>TODAY()</f>
        <v>0</v>
      </c>
      <c r="K40">
        <f>(H40-D40)/D40</f>
        <v>0</v>
      </c>
    </row>
    <row r="41" spans="1:11">
      <c r="A41" t="s">
        <v>50</v>
      </c>
      <c r="B41" t="s">
        <v>109</v>
      </c>
      <c r="C41" t="s">
        <v>109</v>
      </c>
      <c r="D41">
        <f>GOOGLEFINANCE(C41,"price")</f>
        <v>0</v>
      </c>
      <c r="H41">
        <f>AVERAGE(E41:G41)</f>
        <v>0</v>
      </c>
      <c r="J41">
        <f>TODAY()</f>
        <v>0</v>
      </c>
      <c r="K41">
        <f>(H41-D41)/D41</f>
        <v>0</v>
      </c>
    </row>
    <row r="42" spans="1:11">
      <c r="A42" t="s">
        <v>51</v>
      </c>
      <c r="B42" t="s">
        <v>110</v>
      </c>
      <c r="C42" t="s">
        <v>110</v>
      </c>
      <c r="D42">
        <f>GOOGLEFINANCE(C42,"price")</f>
        <v>0</v>
      </c>
      <c r="H42">
        <f>AVERAGE(E42:G42)</f>
        <v>0</v>
      </c>
      <c r="J42">
        <f>TODAY()</f>
        <v>0</v>
      </c>
      <c r="K42">
        <f>(H42-D42)/D42</f>
        <v>0</v>
      </c>
    </row>
    <row r="43" spans="1:11">
      <c r="A43" t="s">
        <v>52</v>
      </c>
      <c r="B43" t="s">
        <v>111</v>
      </c>
      <c r="C43" t="s">
        <v>111</v>
      </c>
      <c r="D43">
        <f>GOOGLEFINANCE(C43,"price")</f>
        <v>0</v>
      </c>
      <c r="H43">
        <f>AVERAGE(E43:G43)</f>
        <v>0</v>
      </c>
      <c r="J43">
        <f>TODAY()</f>
        <v>0</v>
      </c>
      <c r="K43">
        <f>(H43-D43)/D43</f>
        <v>0</v>
      </c>
    </row>
    <row r="44" spans="1:11">
      <c r="A44" t="s">
        <v>53</v>
      </c>
      <c r="B44" t="s">
        <v>112</v>
      </c>
      <c r="C44" t="s">
        <v>112</v>
      </c>
      <c r="D44">
        <f>GOOGLEFINANCE(C44,"price")</f>
        <v>0</v>
      </c>
      <c r="H44">
        <f>AVERAGE(E44:G44)</f>
        <v>0</v>
      </c>
      <c r="J44">
        <f>TODAY()</f>
        <v>0</v>
      </c>
      <c r="K44">
        <f>(H44-D44)/D44</f>
        <v>0</v>
      </c>
    </row>
    <row r="45" spans="1:11">
      <c r="A45" t="s">
        <v>54</v>
      </c>
      <c r="B45" t="s">
        <v>113</v>
      </c>
      <c r="C45" t="s">
        <v>113</v>
      </c>
      <c r="D45">
        <f>GOOGLEFINANCE(C45,"price")</f>
        <v>0</v>
      </c>
      <c r="H45">
        <f>AVERAGE(E45:G45)</f>
        <v>0</v>
      </c>
      <c r="J45">
        <f>TODAY()</f>
        <v>0</v>
      </c>
      <c r="K45">
        <f>(H45-D45)/D45</f>
        <v>0</v>
      </c>
    </row>
    <row r="46" spans="1:11">
      <c r="A46" t="s">
        <v>55</v>
      </c>
      <c r="B46" t="s">
        <v>114</v>
      </c>
      <c r="C46" t="s">
        <v>114</v>
      </c>
      <c r="D46">
        <f>GOOGLEFINANCE(C46,"price")</f>
        <v>0</v>
      </c>
      <c r="H46">
        <f>AVERAGE(E46:G46)</f>
        <v>0</v>
      </c>
      <c r="J46">
        <f>TODAY()</f>
        <v>0</v>
      </c>
      <c r="K46">
        <f>(H46-D46)/D46</f>
        <v>0</v>
      </c>
    </row>
    <row r="47" spans="1:11">
      <c r="A47" t="s">
        <v>56</v>
      </c>
      <c r="B47" t="s">
        <v>115</v>
      </c>
      <c r="C47" t="s">
        <v>115</v>
      </c>
      <c r="D47">
        <f>GOOGLEFINANCE(C47,"price")</f>
        <v>0</v>
      </c>
      <c r="H47">
        <f>AVERAGE(E47:G47)</f>
        <v>0</v>
      </c>
      <c r="J47">
        <f>TODAY()</f>
        <v>0</v>
      </c>
      <c r="K47">
        <f>(H47-D47)/D47</f>
        <v>0</v>
      </c>
    </row>
    <row r="48" spans="1:11">
      <c r="A48" t="s">
        <v>57</v>
      </c>
      <c r="B48" t="s">
        <v>116</v>
      </c>
      <c r="C48" t="s">
        <v>116</v>
      </c>
      <c r="D48">
        <f>GOOGLEFINANCE(C48,"price")</f>
        <v>0</v>
      </c>
      <c r="H48">
        <f>AVERAGE(E48:G48)</f>
        <v>0</v>
      </c>
      <c r="J48">
        <f>TODAY()</f>
        <v>0</v>
      </c>
      <c r="K48">
        <f>(H48-D48)/D48</f>
        <v>0</v>
      </c>
    </row>
    <row r="49" spans="1:11">
      <c r="A49" t="s">
        <v>58</v>
      </c>
      <c r="B49" t="s">
        <v>117</v>
      </c>
      <c r="C49" t="s">
        <v>117</v>
      </c>
      <c r="D49">
        <f>GOOGLEFINANCE(C49,"price")</f>
        <v>0</v>
      </c>
      <c r="H49">
        <f>AVERAGE(E49:G49)</f>
        <v>0</v>
      </c>
      <c r="J49">
        <f>TODAY()</f>
        <v>0</v>
      </c>
      <c r="K49">
        <f>(H49-D49)/D49</f>
        <v>0</v>
      </c>
    </row>
    <row r="50" spans="1:11">
      <c r="A50" t="s">
        <v>59</v>
      </c>
      <c r="B50" t="s">
        <v>118</v>
      </c>
      <c r="C50" t="s">
        <v>118</v>
      </c>
      <c r="D50">
        <f>GOOGLEFINANCE(C50,"price")</f>
        <v>0</v>
      </c>
      <c r="H50">
        <f>AVERAGE(E50:G50)</f>
        <v>0</v>
      </c>
      <c r="J50">
        <f>TODAY()</f>
        <v>0</v>
      </c>
      <c r="K50">
        <f>(H50-D50)/D50</f>
        <v>0</v>
      </c>
    </row>
    <row r="51" spans="1:11">
      <c r="A51" t="s">
        <v>60</v>
      </c>
      <c r="B51" t="s">
        <v>119</v>
      </c>
      <c r="C51" t="s">
        <v>119</v>
      </c>
      <c r="D51">
        <f>GOOGLEFINANCE(C51,"price")</f>
        <v>0</v>
      </c>
      <c r="H51">
        <f>AVERAGE(E51:G51)</f>
        <v>0</v>
      </c>
      <c r="J51">
        <f>TODAY()</f>
        <v>0</v>
      </c>
      <c r="K51">
        <f>(H51-D51)/D51</f>
        <v>0</v>
      </c>
    </row>
    <row r="52" spans="1:11">
      <c r="A52" t="s">
        <v>61</v>
      </c>
      <c r="B52" t="s">
        <v>120</v>
      </c>
      <c r="C52" t="s">
        <v>120</v>
      </c>
      <c r="D52">
        <f>GOOGLEFINANCE(C52,"price")</f>
        <v>0</v>
      </c>
      <c r="H52">
        <f>AVERAGE(E52:G52)</f>
        <v>0</v>
      </c>
      <c r="J52">
        <f>TODAY()</f>
        <v>0</v>
      </c>
      <c r="K52">
        <f>(H52-D52)/D52</f>
        <v>0</v>
      </c>
    </row>
    <row r="53" spans="1:11">
      <c r="A53" t="s">
        <v>62</v>
      </c>
      <c r="B53" t="s">
        <v>121</v>
      </c>
      <c r="C53" t="s">
        <v>121</v>
      </c>
      <c r="D53">
        <f>GOOGLEFINANCE(C53,"price")</f>
        <v>0</v>
      </c>
      <c r="H53">
        <f>AVERAGE(E53:G53)</f>
        <v>0</v>
      </c>
      <c r="J53">
        <f>TODAY()</f>
        <v>0</v>
      </c>
      <c r="K53">
        <f>(H53-D53)/D53</f>
        <v>0</v>
      </c>
    </row>
    <row r="54" spans="1:11">
      <c r="A54" t="s">
        <v>63</v>
      </c>
      <c r="B54" t="s">
        <v>122</v>
      </c>
      <c r="C54" t="s">
        <v>122</v>
      </c>
      <c r="D54">
        <f>GOOGLEFINANCE(C54,"price")</f>
        <v>0</v>
      </c>
      <c r="H54">
        <f>AVERAGE(E54:G54)</f>
        <v>0</v>
      </c>
      <c r="J54">
        <f>TODAY()</f>
        <v>0</v>
      </c>
      <c r="K54">
        <f>(H54-D54)/D54</f>
        <v>0</v>
      </c>
    </row>
    <row r="55" spans="1:11">
      <c r="A55" t="s">
        <v>64</v>
      </c>
      <c r="B55" t="s">
        <v>123</v>
      </c>
      <c r="C55" t="s">
        <v>123</v>
      </c>
      <c r="D55">
        <f>GOOGLEFINANCE(C55,"price")</f>
        <v>0</v>
      </c>
      <c r="H55">
        <f>AVERAGE(E55:G55)</f>
        <v>0</v>
      </c>
      <c r="J55">
        <f>TODAY()</f>
        <v>0</v>
      </c>
      <c r="K55">
        <f>(H55-D55)/D55</f>
        <v>0</v>
      </c>
    </row>
    <row r="56" spans="1:11">
      <c r="A56" t="s">
        <v>65</v>
      </c>
      <c r="B56" t="s">
        <v>124</v>
      </c>
      <c r="C56" t="s">
        <v>124</v>
      </c>
      <c r="D56">
        <f>GOOGLEFINANCE(C56,"price")</f>
        <v>0</v>
      </c>
      <c r="H56">
        <f>AVERAGE(E56:G56)</f>
        <v>0</v>
      </c>
      <c r="J56">
        <f>TODAY()</f>
        <v>0</v>
      </c>
      <c r="K56">
        <f>(H56-D56)/D56</f>
        <v>0</v>
      </c>
    </row>
    <row r="57" spans="1:11">
      <c r="A57" t="s">
        <v>66</v>
      </c>
      <c r="B57" t="s">
        <v>125</v>
      </c>
      <c r="C57" t="s">
        <v>125</v>
      </c>
      <c r="D57">
        <f>GOOGLEFINANCE(C57,"price")</f>
        <v>0</v>
      </c>
      <c r="H57">
        <f>AVERAGE(E57:G57)</f>
        <v>0</v>
      </c>
      <c r="J57">
        <f>TODAY()</f>
        <v>0</v>
      </c>
      <c r="K57">
        <f>(H57-D57)/D57</f>
        <v>0</v>
      </c>
    </row>
    <row r="58" spans="1:11">
      <c r="A58" t="s">
        <v>67</v>
      </c>
      <c r="B58" t="s">
        <v>126</v>
      </c>
      <c r="C58" t="s">
        <v>126</v>
      </c>
      <c r="D58">
        <f>GOOGLEFINANCE(C58,"price")</f>
        <v>0</v>
      </c>
      <c r="H58">
        <f>AVERAGE(E58:G58)</f>
        <v>0</v>
      </c>
      <c r="J58">
        <f>TODAY()</f>
        <v>0</v>
      </c>
      <c r="K58">
        <f>(H58-D58)/D58</f>
        <v>0</v>
      </c>
    </row>
    <row r="59" spans="1:11">
      <c r="A59" t="s">
        <v>68</v>
      </c>
      <c r="B59" t="s">
        <v>127</v>
      </c>
      <c r="C59" t="s">
        <v>127</v>
      </c>
      <c r="D59">
        <f>GOOGLEFINANCE(C59,"price")</f>
        <v>0</v>
      </c>
      <c r="H59">
        <f>AVERAGE(E59:G59)</f>
        <v>0</v>
      </c>
      <c r="J59">
        <f>TODAY()</f>
        <v>0</v>
      </c>
      <c r="K59">
        <f>(H59-D59)/D59</f>
        <v>0</v>
      </c>
    </row>
    <row r="60" spans="1:11">
      <c r="A60" t="s">
        <v>69</v>
      </c>
      <c r="B60" t="s">
        <v>128</v>
      </c>
      <c r="C60" t="s">
        <v>128</v>
      </c>
      <c r="D60">
        <f>GOOGLEFINANCE(C60,"price")</f>
        <v>0</v>
      </c>
      <c r="H60">
        <f>AVERAGE(E60:G60)</f>
        <v>0</v>
      </c>
      <c r="J60">
        <f>TODAY()</f>
        <v>0</v>
      </c>
      <c r="K60">
        <f>(H60-D60)/D60</f>
        <v>0</v>
      </c>
    </row>
    <row r="61" spans="1:11">
      <c r="A61" t="s">
        <v>70</v>
      </c>
      <c r="B61" t="s">
        <v>129</v>
      </c>
      <c r="C61" t="s">
        <v>129</v>
      </c>
      <c r="D61">
        <f>GOOGLEFINANCE(C61,"price")</f>
        <v>0</v>
      </c>
      <c r="H61">
        <f>AVERAGE(E61:G61)</f>
        <v>0</v>
      </c>
      <c r="J61">
        <f>TODAY()</f>
        <v>0</v>
      </c>
      <c r="K61">
        <f>(H61-D61)/D61</f>
        <v>0</v>
      </c>
    </row>
    <row r="62" spans="1:11">
      <c r="A62" t="s">
        <v>71</v>
      </c>
      <c r="B62" t="s">
        <v>130</v>
      </c>
      <c r="C62" t="s">
        <v>130</v>
      </c>
      <c r="D62">
        <f>GOOGLEFINANCE(C62,"price")</f>
        <v>0</v>
      </c>
      <c r="H62">
        <f>AVERAGE(E62:G62)</f>
        <v>0</v>
      </c>
      <c r="J62">
        <f>TODAY()</f>
        <v>0</v>
      </c>
      <c r="K62">
        <f>(H62-D62)/D62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2026-03-15T14:27:39Z</dcterms:created>
  <dcterms:modified xsi:type="dcterms:W3CDTF">2026-03-15T14:27:39Z</dcterms:modified>
</cp:coreProperties>
</file>